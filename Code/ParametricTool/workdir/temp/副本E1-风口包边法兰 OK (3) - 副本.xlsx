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/>
  <mc:AlternateContent xmlns:mc="http://schemas.openxmlformats.org/markup-compatibility/2006">
    <mc:Choice Requires="x15">
      <x15ac:absPath xmlns:x15ac="http://schemas.microsoft.com/office/spreadsheetml/2010/11/ac" url="F:\彭林文档\01.MyProject\05.PLCode\08.ParametricTool\workdir\temp\"/>
    </mc:Choice>
  </mc:AlternateContent>
  <xr:revisionPtr revIDLastSave="0" documentId="13_ncr:1_{AD25085B-701F-4F81-93AE-9177DD852449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风口包边法兰" sheetId="1" r:id="rId1"/>
  </sheets>
  <definedNames>
    <definedName name="_xlnm._FilterDatabase" localSheetId="0" hidden="1">风口包边法兰!$A$1:$R$2</definedName>
  </definedNames>
  <calcPr calcId="191029"/>
</workbook>
</file>

<file path=xl/calcChain.xml><?xml version="1.0" encoding="utf-8"?>
<calcChain xmlns="http://schemas.openxmlformats.org/spreadsheetml/2006/main">
  <c r="N2" i="1" l="1"/>
  <c r="Q2" i="1" s="1"/>
  <c r="J2" i="1"/>
  <c r="O2" i="1" s="1"/>
  <c r="D2" i="1"/>
  <c r="L2" i="1" s="1"/>
  <c r="M2" i="1" l="1"/>
  <c r="P2" i="1"/>
</calcChain>
</file>

<file path=xl/sharedStrings.xml><?xml version="1.0" encoding="utf-8"?>
<sst xmlns="http://schemas.openxmlformats.org/spreadsheetml/2006/main" count="21" uniqueCount="21">
  <si>
    <t>序号</t>
  </si>
  <si>
    <t>物料号</t>
  </si>
  <si>
    <t>名称</t>
  </si>
  <si>
    <t>展开尺寸</t>
  </si>
  <si>
    <t>材质</t>
  </si>
  <si>
    <t>长度</t>
  </si>
  <si>
    <r>
      <rPr>
        <sz val="10"/>
        <rFont val="宋体"/>
        <charset val="134"/>
      </rPr>
      <t>数量</t>
    </r>
  </si>
  <si>
    <r>
      <rPr>
        <sz val="10"/>
        <rFont val="宋体"/>
        <charset val="134"/>
      </rPr>
      <t>单位</t>
    </r>
  </si>
  <si>
    <t>备注</t>
  </si>
  <si>
    <t>材质（图纸显示）</t>
  </si>
  <si>
    <t>名称（图纸显示）</t>
  </si>
  <si>
    <t>L</t>
  </si>
  <si>
    <t>C</t>
  </si>
  <si>
    <t>N</t>
  </si>
  <si>
    <t>i</t>
  </si>
  <si>
    <t>是否需要出图</t>
  </si>
  <si>
    <t>风口包边法兰</t>
  </si>
  <si>
    <t>GI-LY</t>
  </si>
  <si>
    <t>PC</t>
  </si>
  <si>
    <t>OK</t>
  </si>
  <si>
    <t>A100100006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</si>
</sst>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charset val="134"/>
    </font>
    <font>
      <sz val="10"/>
      <name val="Arial"/>
      <family val="2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sz val="10"/>
      <name val="宋体"/>
      <charset val="134"/>
    </font>
    <font>
      <sz val="11"/>
      <color theme="1"/>
      <name val="Calibri"/>
      <family val="2"/>
    </font>
    <font>
      <sz val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215003</xdr:colOff>
      <xdr:row>1</xdr:row>
      <xdr:rowOff>0</xdr:rowOff>
    </xdr:from>
    <xdr:to>
      <xdr:col>30</xdr:col>
      <xdr:colOff>334614</xdr:colOff>
      <xdr:row>25</xdr:row>
      <xdr:rowOff>151839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97505" y="593725"/>
          <a:ext cx="7663180" cy="4629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pane ySplit="1" topLeftCell="A2" activePane="bottomLeft" state="frozen"/>
      <selection pane="bottomLeft" activeCell="D2" sqref="D2"/>
    </sheetView>
  </sheetViews>
  <sheetFormatPr defaultColWidth="9" defaultRowHeight="14.4" x14ac:dyDescent="0.3"/>
  <cols>
    <col min="1" max="1" width="6" customWidth="1"/>
    <col min="2" max="2" width="18" customWidth="1"/>
    <col min="3" max="3" width="19.5546875" customWidth="1"/>
    <col min="4" max="4" width="18.6640625" customWidth="1"/>
    <col min="5" max="5" width="8.109375" customWidth="1"/>
    <col min="6" max="9" width="8.33203125" customWidth="1"/>
    <col min="10" max="10" width="20.5546875" customWidth="1"/>
    <col min="11" max="11" width="4.44140625" customWidth="1"/>
    <col min="12" max="12" width="20" customWidth="1"/>
    <col min="13" max="13" width="20" style="1" customWidth="1"/>
    <col min="14" max="17" width="9.109375" style="1"/>
    <col min="18" max="18" width="15.109375" customWidth="1"/>
  </cols>
  <sheetData>
    <row r="1" spans="1:18" ht="15" x14ac:dyDescent="0.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3"/>
      <c r="H1" s="4" t="s">
        <v>6</v>
      </c>
      <c r="I1" s="4" t="s">
        <v>7</v>
      </c>
      <c r="J1" s="2" t="s">
        <v>8</v>
      </c>
      <c r="K1" s="1"/>
      <c r="L1" s="6" t="s">
        <v>9</v>
      </c>
      <c r="M1" s="7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9" t="s">
        <v>15</v>
      </c>
    </row>
    <row r="2" spans="1:18" ht="15.6" x14ac:dyDescent="0.3">
      <c r="A2" s="3">
        <v>5</v>
      </c>
      <c r="B2" s="10" t="s">
        <v>20</v>
      </c>
      <c r="C2" s="5" t="s">
        <v>16</v>
      </c>
      <c r="D2" s="3" t="str">
        <f>"δ0.7*"&amp;F2+25&amp;"*66.2mm"</f>
        <v>δ0.7*325*66.2mm</v>
      </c>
      <c r="E2" s="2" t="s">
        <v>17</v>
      </c>
      <c r="F2" s="3">
        <v>300</v>
      </c>
      <c r="G2" s="3"/>
      <c r="H2" s="3">
        <v>2</v>
      </c>
      <c r="I2" s="3" t="s">
        <v>18</v>
      </c>
      <c r="J2" s="2" t="str">
        <f>"用于TWB,"&amp;F2&amp;","</f>
        <v>用于TWB,300,</v>
      </c>
      <c r="K2" s="1"/>
      <c r="L2" s="2" t="str">
        <f>IF(E2="GI-LY","钝化热镀锌板","不锈钢板")&amp;" "&amp;LEFT(D2,FIND("*",D2)-1)</f>
        <v>钝化热镀锌板 δ0.7</v>
      </c>
      <c r="M2" s="2" t="str">
        <f>MID(J2,3,3)&amp;C2</f>
        <v>TWB风口包边法兰</v>
      </c>
      <c r="N2" s="2">
        <f>F2</f>
        <v>300</v>
      </c>
      <c r="O2" s="2">
        <f>IF(MID(J2,3,3)="TWB",29,52)</f>
        <v>29</v>
      </c>
      <c r="P2" s="2">
        <f>ROUND((N2-20)/Q2,2)</f>
        <v>280</v>
      </c>
      <c r="Q2" s="2">
        <f>ROUNDUP((N2-20)/280,0)</f>
        <v>1</v>
      </c>
      <c r="R2" s="2" t="s">
        <v>19</v>
      </c>
    </row>
  </sheetData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风口包边法兰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木易</dc:creator>
  <cp:lastModifiedBy>Administrator</cp:lastModifiedBy>
  <dcterms:created xsi:type="dcterms:W3CDTF">2023-05-12T10:51:00Z</dcterms:created>
  <dcterms:modified xsi:type="dcterms:W3CDTF">2023-09-01T15:40:22Z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7740953650114A3E997FAECAAC5270E4_12</vt:lpwstr>
  </property>
  <property fmtid="{D5CDD505-2E9C-101B-9397-08002B2CF9AE}" pid="3" name="KSOProductBuildVer">
    <vt:lpwstr>2052-12.1.0.15120</vt:lpwstr>
  </property>
</Properties>
</file>