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thumbnail" Target="docProps/thumbnail.wmf" /><Relationship Id="rId3" Type="http://schemas.openxmlformats.org/officeDocument/2006/relationships/extended-properties" Target="docProps/app.xml" /><Relationship Id="rId4" Type="http://schemas.openxmlformats.org/package/2006/relationships/metadata/core-properties" Target="docProps/core.xml" /><Relationship Id="rId5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200"/>
  </bookViews>
  <sheets>
    <sheet name="风口包边法兰" sheetId="1" r:id="rId1"/>
  </sheets>
  <definedNames>
    <definedName name="_xlnm._FilterDatabase" localSheetId="0" hidden="1">风口包边法兰!$A$1:$R$6</definedName>
  </definedNames>
  <calcPr calcId="144525"/>
</workbook>
</file>

<file path=xl/sharedStrings.xml><?xml version="1.0" encoding="utf-8"?>
<sst xmlns="http://schemas.openxmlformats.org/spreadsheetml/2006/main" count="41" uniqueCount="25">
  <si>
    <t>序号</t>
  </si>
  <si>
    <t>物料号</t>
  </si>
  <si>
    <t>名称</t>
  </si>
  <si>
    <t>展开尺寸</t>
  </si>
  <si>
    <t>材质</t>
  </si>
  <si>
    <t>长度</t>
  </si>
  <si>
    <r>
      <rPr>
        <sz val="10"/>
        <rFont val="宋体"/>
        <charset val="134"/>
      </rPr>
      <t>数量</t>
    </r>
  </si>
  <si>
    <r>
      <rPr>
        <sz val="10"/>
        <rFont val="宋体"/>
        <charset val="134"/>
      </rPr>
      <t>单位</t>
    </r>
  </si>
  <si>
    <t>备注</t>
  </si>
  <si>
    <t>材质（图纸显示）</t>
  </si>
  <si>
    <t>名称（图纸显示）</t>
  </si>
  <si>
    <t>L</t>
  </si>
  <si>
    <t>C</t>
  </si>
  <si>
    <t>N</t>
  </si>
  <si>
    <t>i</t>
  </si>
  <si>
    <t>是否需要出图</t>
  </si>
  <si>
    <t>A100100001</t>
  </si>
  <si>
    <t>风口包边法兰</t>
  </si>
  <si>
    <t>GI-LY</t>
  </si>
  <si>
    <t>PC</t>
  </si>
  <si>
    <t>OK</t>
  </si>
  <si>
    <t>A100100002</t>
  </si>
  <si>
    <t>A100100003</t>
  </si>
  <si>
    <t>A100100004</t>
  </si>
  <si>
    <t>A100100005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</si>
</sst>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</font>
    <font>
      <sz val="10"/>
      <name val="Arial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215003</xdr:colOff>
      <xdr:row>2</xdr:row>
      <xdr:rowOff>200586</xdr:rowOff>
    </xdr:from>
    <xdr:to>
      <xdr:col>30</xdr:col>
      <xdr:colOff>334614</xdr:colOff>
      <xdr:row>27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97505" y="593725"/>
          <a:ext cx="7663180" cy="462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workbookViewId="0">
      <pane ySplit="1" topLeftCell="A2" activePane="bottomLeft" state="frozen"/>
      <selection/>
      <selection pane="bottomLeft" activeCell="L3" sqref="L3"/>
    </sheetView>
  </sheetViews>
  <sheetFormatPr defaultColWidth="9" defaultRowHeight="14.5" outlineLevelRow="5"/>
  <cols>
    <col min="1" max="1" width="6" customWidth="1"/>
    <col min="2" max="2" width="18" customWidth="1"/>
    <col min="3" max="3" width="19.5727272727273" customWidth="1"/>
    <col min="4" max="4" width="18.7090909090909" customWidth="1"/>
    <col min="5" max="5" width="8.13636363636364" customWidth="1"/>
    <col min="6" max="9" width="8.28181818181818" customWidth="1"/>
    <col min="10" max="10" width="20.5727272727273" customWidth="1"/>
    <col min="11" max="11" width="4.42727272727273" customWidth="1"/>
    <col min="12" max="12" width="20" customWidth="1"/>
    <col min="13" max="13" width="20" style="1" customWidth="1"/>
    <col min="14" max="17" width="9.13636363636364" style="1"/>
    <col min="18" max="18" width="15.1363636363636" customWidth="1"/>
  </cols>
  <sheetData>
    <row r="1" spans="1:18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/>
      <c r="H1" s="4" t="s">
        <v>6</v>
      </c>
      <c r="I1" s="4" t="s">
        <v>7</v>
      </c>
      <c r="J1" s="2" t="s">
        <v>8</v>
      </c>
      <c r="K1" s="1"/>
      <c r="L1" s="6" t="s">
        <v>9</v>
      </c>
      <c r="M1" s="7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9" t="s">
        <v>15</v>
      </c>
    </row>
    <row r="2" ht="16.5" spans="1:18">
      <c r="A2" s="3">
        <v>1</v>
      </c>
      <c r="B2" s="3" t="s">
        <v>16</v>
      </c>
      <c r="C2" s="5" t="s">
        <v>17</v>
      </c>
      <c r="D2" s="3" t="str">
        <f>"δ0.7*"&amp;F2+25&amp;"*66.2mm"</f>
        <v>δ0.7*125*66.2mm</v>
      </c>
      <c r="E2" s="2" t="s">
        <v>18</v>
      </c>
      <c r="F2" s="3">
        <v>100</v>
      </c>
      <c r="G2" s="3"/>
      <c r="H2" s="3">
        <v>2</v>
      </c>
      <c r="I2" s="3" t="s">
        <v>19</v>
      </c>
      <c r="J2" s="2" t="str">
        <f>"用于TWB,"&amp;F2&amp;","</f>
        <v>用于TWB,100,</v>
      </c>
      <c r="K2" s="1"/>
      <c r="L2" s="2" t="str">
        <f>IF(E2="GI-LY","钝化热镀锌板","不锈钢板")&amp;" "&amp;LEFT(D2,FIND("*",D2)-1)</f>
        <v>钝化热镀锌板 δ0.7</v>
      </c>
      <c r="M2" s="2" t="str">
        <f>MID(J2,3,3)&amp;C2</f>
        <v>TWB风口包边法兰</v>
      </c>
      <c r="N2" s="2">
        <f>F2</f>
        <v>100</v>
      </c>
      <c r="O2" s="2">
        <f>IF(MID(J2,3,3)="TWB",29,52)</f>
        <v>29</v>
      </c>
      <c r="P2" s="2">
        <f>ROUND((N2-20)/Q2,2)</f>
        <v>80</v>
      </c>
      <c r="Q2" s="2">
        <f>ROUNDUP((N2-20)/280,0)</f>
        <v>1</v>
      </c>
      <c r="R2" s="2" t="s">
        <v>20</v>
      </c>
    </row>
    <row r="3" ht="16.5" spans="1:18">
      <c r="A3" s="3">
        <v>2</v>
      </c>
      <c r="B3" s="3" t="s">
        <v>21</v>
      </c>
      <c r="C3" s="5" t="s">
        <v>17</v>
      </c>
      <c r="D3" s="3" t="str">
        <f>"δ0.7*"&amp;F3+25&amp;"*66.2mm"</f>
        <v>δ0.7*165*66.2mm</v>
      </c>
      <c r="E3" s="2" t="s">
        <v>18</v>
      </c>
      <c r="F3" s="2">
        <v>140</v>
      </c>
      <c r="G3" s="2"/>
      <c r="H3" s="3">
        <v>2</v>
      </c>
      <c r="I3" s="3" t="s">
        <v>19</v>
      </c>
      <c r="J3" s="2" t="str">
        <f>"用于TWB,"&amp;F3&amp;","</f>
        <v>用于TWB,140,</v>
      </c>
      <c r="K3" s="1"/>
      <c r="L3" s="2" t="str">
        <f>IF(E3="GI-LY","钝化热镀锌板","不锈钢板")&amp;" "&amp;LEFT(D3,FIND("*",D3)-1)</f>
        <v>钝化热镀锌板 δ0.7</v>
      </c>
      <c r="M3" s="2" t="str">
        <f>MID(J3,3,3)&amp;C3</f>
        <v>TWB风口包边法兰</v>
      </c>
      <c r="N3" s="2">
        <f>F3</f>
        <v>140</v>
      </c>
      <c r="O3" s="2">
        <f>IF(MID(J3,3,3)="TWB",29,52)</f>
        <v>29</v>
      </c>
      <c r="P3" s="2">
        <f>ROUND((N3-20)/Q3,2)</f>
        <v>120</v>
      </c>
      <c r="Q3" s="2">
        <f>ROUNDUP((N3-20)/280,0)</f>
        <v>1</v>
      </c>
      <c r="R3" s="2" t="s">
        <v>20</v>
      </c>
    </row>
    <row r="4" ht="16.5" spans="1:18">
      <c r="A4" s="3">
        <v>3</v>
      </c>
      <c r="B4" s="3" t="s">
        <v>22</v>
      </c>
      <c r="C4" s="5" t="s">
        <v>17</v>
      </c>
      <c r="D4" s="3" t="str">
        <f>"δ0.7*"&amp;F4+25&amp;"*66.2mm"</f>
        <v>δ0.7*175*66.2mm</v>
      </c>
      <c r="E4" s="2" t="s">
        <v>18</v>
      </c>
      <c r="F4" s="3">
        <v>150</v>
      </c>
      <c r="G4" s="3"/>
      <c r="H4" s="3">
        <v>2</v>
      </c>
      <c r="I4" s="3" t="s">
        <v>19</v>
      </c>
      <c r="J4" s="2" t="str">
        <f>"用于TWB,"&amp;F4&amp;","</f>
        <v>用于TWB,150,</v>
      </c>
      <c r="K4" s="1"/>
      <c r="L4" s="2" t="str">
        <f>IF(E4="GI-LY","钝化热镀锌板","不锈钢板")&amp;" "&amp;LEFT(D4,FIND("*",D4)-1)</f>
        <v>钝化热镀锌板 δ0.7</v>
      </c>
      <c r="M4" s="2" t="str">
        <f>MID(J4,3,3)&amp;C4</f>
        <v>TWB风口包边法兰</v>
      </c>
      <c r="N4" s="2">
        <f>F4</f>
        <v>150</v>
      </c>
      <c r="O4" s="2">
        <f>IF(MID(J4,3,3)="TWB",29,52)</f>
        <v>29</v>
      </c>
      <c r="P4" s="2">
        <f>ROUND((N4-20)/Q4,2)</f>
        <v>130</v>
      </c>
      <c r="Q4" s="2">
        <f>ROUNDUP((N4-20)/280,0)</f>
        <v>1</v>
      </c>
      <c r="R4" s="2" t="s">
        <v>20</v>
      </c>
    </row>
    <row r="5" ht="16.5" spans="1:18">
      <c r="A5" s="3">
        <v>4</v>
      </c>
      <c r="B5" s="3" t="s">
        <v>23</v>
      </c>
      <c r="C5" s="5" t="s">
        <v>17</v>
      </c>
      <c r="D5" s="3" t="str">
        <f>"δ0.7*"&amp;F5+25&amp;"*66.2mm"</f>
        <v>δ0.7*185*66.2mm</v>
      </c>
      <c r="E5" s="2" t="s">
        <v>18</v>
      </c>
      <c r="F5" s="2">
        <v>160</v>
      </c>
      <c r="G5" s="2"/>
      <c r="H5" s="3">
        <v>2</v>
      </c>
      <c r="I5" s="3" t="s">
        <v>19</v>
      </c>
      <c r="J5" s="2" t="str">
        <f>"用于TWB,"&amp;F5&amp;","</f>
        <v>用于TWB,160,</v>
      </c>
      <c r="K5" s="1"/>
      <c r="L5" s="2" t="str">
        <f>IF(E5="GI-LY","钝化热镀锌板","不锈钢板")&amp;" "&amp;LEFT(D5,FIND("*",D5)-1)</f>
        <v>钝化热镀锌板 δ0.7</v>
      </c>
      <c r="M5" s="2" t="str">
        <f>MID(J5,3,3)&amp;C5</f>
        <v>TWB风口包边法兰</v>
      </c>
      <c r="N5" s="2">
        <f>F5</f>
        <v>160</v>
      </c>
      <c r="O5" s="2">
        <f>IF(MID(J5,3,3)="TWB",29,52)</f>
        <v>29</v>
      </c>
      <c r="P5" s="2">
        <f>ROUND((N5-20)/Q5,2)</f>
        <v>140</v>
      </c>
      <c r="Q5" s="2">
        <f>ROUNDUP((N5-20)/280,0)</f>
        <v>1</v>
      </c>
      <c r="R5" s="2" t="s">
        <v>20</v>
      </c>
    </row>
    <row r="6" ht="16.5" spans="1:18">
      <c r="A6" s="3">
        <v>5</v>
      </c>
      <c r="B6" s="3" t="s">
        <v>24</v>
      </c>
      <c r="C6" s="5" t="s">
        <v>17</v>
      </c>
      <c r="D6" s="3" t="str">
        <f>"δ0.7*"&amp;F6+25&amp;"*66.2mm"</f>
        <v>δ0.7*205*66.2mm</v>
      </c>
      <c r="E6" s="2" t="s">
        <v>18</v>
      </c>
      <c r="F6" s="3">
        <v>180</v>
      </c>
      <c r="G6" s="3"/>
      <c r="H6" s="3">
        <v>2</v>
      </c>
      <c r="I6" s="3" t="s">
        <v>19</v>
      </c>
      <c r="J6" s="2" t="str">
        <f>"用于TWB,"&amp;F6&amp;","</f>
        <v>用于TWB,180,</v>
      </c>
      <c r="K6" s="1"/>
      <c r="L6" s="2" t="str">
        <f>IF(E6="GI-LY","钝化热镀锌板","不锈钢板")&amp;" "&amp;LEFT(D6,FIND("*",D6)-1)</f>
        <v>钝化热镀锌板 δ0.7</v>
      </c>
      <c r="M6" s="2" t="str">
        <f>MID(J6,3,3)&amp;C6</f>
        <v>TWB风口包边法兰</v>
      </c>
      <c r="N6" s="2">
        <f>F6</f>
        <v>180</v>
      </c>
      <c r="O6" s="2">
        <f>IF(MID(J6,3,3)="TWB",29,52)</f>
        <v>29</v>
      </c>
      <c r="P6" s="2">
        <f>ROUND((N6-20)/Q6,2)</f>
        <v>160</v>
      </c>
      <c r="Q6" s="2">
        <f>ROUNDUP((N6-20)/280,0)</f>
        <v>1</v>
      </c>
      <c r="R6" s="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风口包边法兰</vt:lpstr>
    </vt:vector>
  </TitlesOfParts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2023-05-12T10:51:00Z</dcterms:created>
  <dc:creator>木易</dc:creator>
  <cp:lastModifiedBy>Cheney Win10</cp:lastModifiedBy>
  <dcterms:modified xsi:type="dcterms:W3CDTF">2023-07-30T07:17:50Z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7740953650114A3E997FAECAAC5270E4_12</vt:lpwstr>
  </property>
  <property fmtid="{D5CDD505-2E9C-101B-9397-08002B2CF9AE}" pid="3" name="KSOProductBuildVer">
    <vt:lpwstr>2052-12.1.0.15120</vt:lpwstr>
  </property>
</Properties>
</file>